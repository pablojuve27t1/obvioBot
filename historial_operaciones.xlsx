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iovani\Documents\trading\obvioBot\"/>
    </mc:Choice>
  </mc:AlternateContent>
  <xr:revisionPtr revIDLastSave="0" documentId="13_ncr:1_{DB620945-7DBC-4331-A462-2819A1FE32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istorial" sheetId="1" r:id="rId1"/>
    <sheet name="Resumen" sheetId="2" r:id="rId2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2" l="1"/>
  <c r="B5" i="2"/>
  <c r="B4" i="2"/>
  <c r="B6" i="2" s="1"/>
  <c r="B3" i="2"/>
  <c r="G94" i="1"/>
  <c r="B9" i="2" s="1"/>
  <c r="F94" i="1"/>
  <c r="B8" i="2" s="1"/>
  <c r="B10" i="2" s="1"/>
  <c r="B7" i="2"/>
</calcChain>
</file>

<file path=xl/sharedStrings.xml><?xml version="1.0" encoding="utf-8"?>
<sst xmlns="http://schemas.openxmlformats.org/spreadsheetml/2006/main" count="369" uniqueCount="152">
  <si>
    <t>Fecha cierre</t>
  </si>
  <si>
    <t>Mercado</t>
  </si>
  <si>
    <t>Precio entrada</t>
  </si>
  <si>
    <t>Monto invertido (USD)</t>
  </si>
  <si>
    <t>Resultado</t>
  </si>
  <si>
    <t>Ganancia (USD)</t>
  </si>
  <si>
    <t>Perdida (USD)</t>
  </si>
  <si>
    <t>Capital despues (USD)</t>
  </si>
  <si>
    <t>Corroboracion</t>
  </si>
  <si>
    <t>Ciudad</t>
  </si>
  <si>
    <t>WTI Crude Oil (WTI) closes above $85 on August 27?</t>
  </si>
  <si>
    <t>Ganada</t>
  </si>
  <si>
    <t>SIN_DATOS</t>
  </si>
  <si>
    <t>Will Trump say "Alien" during remarks at NASA?</t>
  </si>
  <si>
    <t>Will Rocket Lab USA, Inc. (RKLB) hit (HIGH) $82 Week of August 24 2026?</t>
  </si>
  <si>
    <t>Will Micron Technology, Inc. (MU) hit (LOW) $900 Week of August 24 2026?</t>
  </si>
  <si>
    <t>Will S&amp;P 500 (SPY) hit (HIGH) $795 Week of August 24 2026?</t>
  </si>
  <si>
    <t>Will the highest temperature in Ankara be 24°C on August 28?</t>
  </si>
  <si>
    <t>CONFIRMA</t>
  </si>
  <si>
    <t>Ankara</t>
  </si>
  <si>
    <t>Will the highest temperature in Milan be 32°C or higher on August 28?</t>
  </si>
  <si>
    <t>INCIERTO</t>
  </si>
  <si>
    <t>Milan</t>
  </si>
  <si>
    <t>Will Austin, TX face tornado risk on August 29?</t>
  </si>
  <si>
    <t>Will the highest temperature in Manila be 32°C on August 30?</t>
  </si>
  <si>
    <t>Manila</t>
  </si>
  <si>
    <t>Will the lowest temperature in Lucknow be 23°C on August 30?</t>
  </si>
  <si>
    <t>Lucknow</t>
  </si>
  <si>
    <t>Will the highest temperature in Warsaw be 28°C on August 30?</t>
  </si>
  <si>
    <t>Warsaw</t>
  </si>
  <si>
    <t>Will the lowest temperature in Toronto be 16°C on August 30?</t>
  </si>
  <si>
    <t>Toronto</t>
  </si>
  <si>
    <t>Will Opendoor Technologies Inc. (OPEN) hit (HIGH) $5.00 in August?</t>
  </si>
  <si>
    <t>Will the highest temperature in Karachi be 32°C on September 1?</t>
  </si>
  <si>
    <t>Karachi</t>
  </si>
  <si>
    <t>Will Charlotte, NC face tornado risk on September 1?</t>
  </si>
  <si>
    <t>Will the highest temperature in Tokyo be 28°C on September 2?</t>
  </si>
  <si>
    <t>Tokyo</t>
  </si>
  <si>
    <t>Will the lowest temperature in Seoul (Incheon) be 20°C on September 2?</t>
  </si>
  <si>
    <t>Seoul</t>
  </si>
  <si>
    <t>Will the highest temperature in Kuala Lumpur be 35°C on September 2?</t>
  </si>
  <si>
    <t>Will the highest temperature in Shanghai be 31°C on September 2?</t>
  </si>
  <si>
    <t>Shanghai</t>
  </si>
  <si>
    <t>Will the highest temperature in Cape Town be 22°C on September 2?</t>
  </si>
  <si>
    <t>Will the highest temperature in Hong Kong be 27°C on September 2?</t>
  </si>
  <si>
    <t>Hong Kong</t>
  </si>
  <si>
    <t>Will the lowest temperature in Manila be 23°C on September 3?</t>
  </si>
  <si>
    <t>Will the highest temperature in Manila be 34°C on September 3?</t>
  </si>
  <si>
    <t>Will the highest temperature in Tokyo be 30°C on September 4?</t>
  </si>
  <si>
    <t>Will the highest temperature in Wuhan be 33°C on September 4?</t>
  </si>
  <si>
    <t>Wuhan</t>
  </si>
  <si>
    <t>Will the highest temperature in Karachi be 34°C on September 4?</t>
  </si>
  <si>
    <t>Will Gold (XAUUSD) hit (HIGH) $4,600 Week of August 31 2026?</t>
  </si>
  <si>
    <t>Will Gold (XAUUSD) hit (LOW) $4,300 Week of August 31 2026?</t>
  </si>
  <si>
    <t>Will Elon Musk post 90-114 tweets from September 3 to September 5, 2026?</t>
  </si>
  <si>
    <t>Will the highest temperature in Moscow be 15°C on September 5?</t>
  </si>
  <si>
    <t>Moscow</t>
  </si>
  <si>
    <t>Will the highest temperature in Jeddah be 39°C on September 5?</t>
  </si>
  <si>
    <t>Jeddah</t>
  </si>
  <si>
    <t>Will CD Nacional win on 2026-09-04?</t>
  </si>
  <si>
    <t>Will the lowest temperature in Miami be 73°F or below on September 5?</t>
  </si>
  <si>
    <t>Miami</t>
  </si>
  <si>
    <t>Will the highest temperature in Shenzhen be 27°C on September 6?</t>
  </si>
  <si>
    <t>Shenzhen</t>
  </si>
  <si>
    <t>Will the highest temperature in Chengdu be 32°C on September 6?</t>
  </si>
  <si>
    <t>Chengdu</t>
  </si>
  <si>
    <t>Will the lowest temperature in Hong Kong be 28°C on September 5?</t>
  </si>
  <si>
    <t>Will the highest temperature in Singapore be 35°C on September 7?</t>
  </si>
  <si>
    <t>Singapore</t>
  </si>
  <si>
    <t>Will the lowest temperature in Kuala Lumpur be 24°C on September 7?</t>
  </si>
  <si>
    <t>Kuala Lumpur</t>
  </si>
  <si>
    <t>Will the highest temperature in Moscow be 11°C on September 7?</t>
  </si>
  <si>
    <t>Will the highest temperature in Milan be 29°C on September 7?</t>
  </si>
  <si>
    <t>Will the highest temperature in Beijing be 19°C or below on September 8?</t>
  </si>
  <si>
    <t>Beijing</t>
  </si>
  <si>
    <t>Will the highest temperature in Helsinki be 15°C on September 8?</t>
  </si>
  <si>
    <t>Helsinki</t>
  </si>
  <si>
    <t>Will Karishma Manzur be the Democratic nominee for Senate in New Hampshire?</t>
  </si>
  <si>
    <t>Game 1: Any Player Penta Kill?</t>
  </si>
  <si>
    <t>Will the highest temperature in Busan be 28°C on September 10?</t>
  </si>
  <si>
    <t>Busan</t>
  </si>
  <si>
    <t>Will the lowest temperature in Seoul (Incheon) be 15°C on September 10?</t>
  </si>
  <si>
    <t>Will the highest temperature in Chongqing be 27°C on September 10?</t>
  </si>
  <si>
    <t>Chongqing</t>
  </si>
  <si>
    <t>Will MrBeast's latest video get between 71 and 72 million views on day 5?</t>
  </si>
  <si>
    <t>Will FK Bodø/Glimt win on 2026-09-10?</t>
  </si>
  <si>
    <t>Will the highest temperature in Shanghai be 29°C on September 11?</t>
  </si>
  <si>
    <t>Will the highest temperature in London be 24°C on September 11?</t>
  </si>
  <si>
    <t>London</t>
  </si>
  <si>
    <t>Will the lowest temperature in Shenzhen be 24°C on September 15?</t>
  </si>
  <si>
    <t>Will the lowest temperature in Karachi be 26°C on September 15?</t>
  </si>
  <si>
    <t>Will the highest temperature in Cape Town be 20°C on September 15?</t>
  </si>
  <si>
    <t>Cape Town</t>
  </si>
  <si>
    <t>Will the highest temperature in Manila be 34°C on September 16?</t>
  </si>
  <si>
    <t>Will the highest temperature in Zhengzhou be 25°C on September 16?</t>
  </si>
  <si>
    <t>Zhengzhou</t>
  </si>
  <si>
    <t>Will the highest temperature in Karachi be 36°C on September 16?</t>
  </si>
  <si>
    <t>Perdida</t>
  </si>
  <si>
    <t>Will the highest temperature in Tokyo be 27°C on September 17?</t>
  </si>
  <si>
    <t>Will the highest temperature in Manila be 34°C on September 17?</t>
  </si>
  <si>
    <t>Will the highest temperature in Hong Kong be 33°C on September 17?</t>
  </si>
  <si>
    <t>Will the highest temperature in Busan be 28°C on September 18?</t>
  </si>
  <si>
    <t>Will the highest temperature in Jinan be 24°C on September 18?</t>
  </si>
  <si>
    <t>Jinan</t>
  </si>
  <si>
    <t>Will the highest temperature in Karachi be 36°C on September 18?</t>
  </si>
  <si>
    <t>Will the lowest temperature in Shanghai be 23°C on September 19?</t>
  </si>
  <si>
    <t>Will the highest temperature in Karachi be 37°C on September 19?</t>
  </si>
  <si>
    <t>Will the highest temperature in Milan be 29°C or higher on September 19?</t>
  </si>
  <si>
    <t>Will the highest temperature in Chengdu be 23°C on September 20?</t>
  </si>
  <si>
    <t>Will the highest temperature in Cape Town be 19°C or below on September 20?</t>
  </si>
  <si>
    <t>Will the lowest temperature in Hong Kong be 25°C on September 20?</t>
  </si>
  <si>
    <t>Will the lowest temperature in Seoul (Incheon) be 17°C on September 21?</t>
  </si>
  <si>
    <t>Will the highest temperature in Jinan be 25°C on September 21?</t>
  </si>
  <si>
    <t>Will the lowest temperature in Miami be 69°F or below on September 21?</t>
  </si>
  <si>
    <t>Will the lowest temperature in Tokyo be 22°C on September 22?</t>
  </si>
  <si>
    <t>Will the highest temperature in Kuala Lumpur be 28°C on September 22?</t>
  </si>
  <si>
    <t>Will the highest temperature in Denver be 86°F or higher on September 22?</t>
  </si>
  <si>
    <t>Denver</t>
  </si>
  <si>
    <t>Will the lowest temperature in Beijing be 13°C or below on September 23?</t>
  </si>
  <si>
    <t>Will the highest temperature in Chengdu be 29°C on September 23?</t>
  </si>
  <si>
    <t>Will the lowest temperature in Hong Kong be 26°C on September 23?</t>
  </si>
  <si>
    <t>Will the highest temperature in Tokyo be 25°C on September 24?</t>
  </si>
  <si>
    <t>Will the highest temperature in Kuala Lumpur be 34°C on September 24?</t>
  </si>
  <si>
    <t>Will the highest temperature in Moscow be 17°C on September 24?</t>
  </si>
  <si>
    <t>Will the highest temperature in Shanghai be 28°C on September 25?</t>
  </si>
  <si>
    <t>Will the highest temperature in Beijing be 29°C or higher on September 25?</t>
  </si>
  <si>
    <t>Will the lowest temperature in Shanghai be 23°C on September 25?</t>
  </si>
  <si>
    <t>Will the highest temperature in Qingdao be 29°C on September 26?</t>
  </si>
  <si>
    <t>Qingdao</t>
  </si>
  <si>
    <t>Will the highest temperature in Chongqing be 26°C or below on September 26?</t>
  </si>
  <si>
    <t>Will the highest temperature in Jeddah be 39°C on September 26?</t>
  </si>
  <si>
    <t>Will the highest temperature in Tokyo be 26°C on September 27?</t>
  </si>
  <si>
    <t>Will the highest temperature in Busan be 29°C on September 28?</t>
  </si>
  <si>
    <t>Will the highest temperature in Paris be 22°C on September 28?</t>
  </si>
  <si>
    <t>Paris</t>
  </si>
  <si>
    <t>Will the highest temperature in Munich be 23°C on September 28?</t>
  </si>
  <si>
    <t>Munich</t>
  </si>
  <si>
    <t>Will the highest temperature in Wellington be 19°C on September 29?</t>
  </si>
  <si>
    <t>Wellington</t>
  </si>
  <si>
    <t>TOTAL</t>
  </si>
  <si>
    <t>Resumen del historial de operaciones (modo PAPER)</t>
  </si>
  <si>
    <t>Total de operaciones</t>
  </si>
  <si>
    <t>Operaciones ganadas</t>
  </si>
  <si>
    <t>Operaciones perdidas</t>
  </si>
  <si>
    <t>Win rate</t>
  </si>
  <si>
    <t>Total invertido (USD)</t>
  </si>
  <si>
    <t>Total ganancias (USD)</t>
  </si>
  <si>
    <t>Total perdidas (USD)</t>
  </si>
  <si>
    <t>PnL neto (USD)</t>
  </si>
  <si>
    <t>Capital inicial (USD)</t>
  </si>
  <si>
    <t>Capital final (USD)</t>
  </si>
  <si>
    <t>Fuente: logs/trade_journal.csv del bot obvioBot (modo PAPER, sin capital real). Generado a partir del historial completo de operaciones cerradas.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</si>
</sst>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yyyy\-mm\-dd\ hh:mm"/>
    <numFmt numFmtId="166" formatCode="\$#,##0.00"/>
    <numFmt numFmtId="167" formatCode="\$#,##0.00;\(\$#,##0.00\);\-"/>
    <numFmt numFmtId="168" formatCode="0.0%"/>
    <numFmt numFmtId="169" formatCode="\$#,##0.00;\(\$#,##0.00\)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2"/>
      <name val="Arial"/>
    </font>
    <font>
      <i/>
      <sz val="9"/>
      <color rgb="FF666666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E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0" borderId="1" xfId="0" applyFont="1" applyBorder="1"/>
    <xf numFmtId="166" fontId="3" fillId="4" borderId="1" xfId="0" applyNumberFormat="1" applyFont="1" applyFill="1" applyBorder="1"/>
    <xf numFmtId="0" fontId="4" fillId="0" borderId="0" xfId="0" applyFont="1"/>
    <xf numFmtId="0" fontId="2" fillId="0" borderId="1" xfId="0" applyFont="1" applyBorder="1"/>
    <xf numFmtId="168" fontId="3" fillId="0" borderId="1" xfId="0" applyNumberFormat="1" applyFont="1" applyBorder="1"/>
    <xf numFmtId="166" fontId="3" fillId="0" borderId="1" xfId="0" applyNumberFormat="1" applyFont="1" applyBorder="1"/>
    <xf numFmtId="169" fontId="3" fillId="0" borderId="1" xfId="0" applyNumberFormat="1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abSelected="1" workbookViewId="0">
      <pane ySplit="1" topLeftCell="A82" activePane="bottomLeft" state="frozen"/>
      <selection pane="bottomLeft" activeCell="D97" sqref="D97"/>
    </sheetView>
  </sheetViews>
  <sheetFormatPr baseColWidth="10" defaultColWidth="8.7265625" defaultRowHeight="14.5" x14ac:dyDescent="0.35"/>
  <cols>
    <col min="1" max="1" width="18" customWidth="1"/>
    <col min="2" max="2" width="48" customWidth="1"/>
    <col min="3" max="3" width="12" customWidth="1"/>
    <col min="4" max="4" width="18" customWidth="1"/>
    <col min="5" max="5" width="10" customWidth="1"/>
    <col min="6" max="7" width="14" customWidth="1"/>
    <col min="8" max="8" width="16" customWidth="1"/>
    <col min="9" max="9" width="14" customWidth="1"/>
    <col min="10" max="10" width="16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46261.968286834141</v>
      </c>
      <c r="B2" s="3" t="s">
        <v>10</v>
      </c>
      <c r="C2" s="4">
        <v>0.97</v>
      </c>
      <c r="D2" s="5">
        <v>4.8499999999999996</v>
      </c>
      <c r="E2" s="6" t="s">
        <v>11</v>
      </c>
      <c r="F2" s="7">
        <v>0.15</v>
      </c>
      <c r="G2" s="7"/>
      <c r="H2" s="5">
        <v>51.03</v>
      </c>
      <c r="I2" s="3" t="s">
        <v>12</v>
      </c>
      <c r="J2" s="3"/>
    </row>
    <row r="3" spans="1:10" x14ac:dyDescent="0.35">
      <c r="A3" s="2">
        <v>46262.820119885058</v>
      </c>
      <c r="B3" s="3" t="s">
        <v>13</v>
      </c>
      <c r="C3" s="4">
        <v>0.85</v>
      </c>
      <c r="D3" s="5">
        <v>4.25</v>
      </c>
      <c r="E3" s="6" t="s">
        <v>11</v>
      </c>
      <c r="F3" s="7">
        <v>0.75</v>
      </c>
      <c r="G3" s="7"/>
      <c r="H3" s="5">
        <v>51.78</v>
      </c>
      <c r="I3" s="3" t="s">
        <v>12</v>
      </c>
      <c r="J3" s="3"/>
    </row>
    <row r="4" spans="1:10" x14ac:dyDescent="0.35">
      <c r="A4" s="2">
        <v>46262.874280478783</v>
      </c>
      <c r="B4" s="3" t="s">
        <v>14</v>
      </c>
      <c r="C4" s="4">
        <v>0.94</v>
      </c>
      <c r="D4" s="5">
        <v>4.7</v>
      </c>
      <c r="E4" s="6" t="s">
        <v>11</v>
      </c>
      <c r="F4" s="7">
        <v>0.3</v>
      </c>
      <c r="G4" s="7"/>
      <c r="H4" s="5">
        <v>52.08</v>
      </c>
      <c r="I4" s="3" t="s">
        <v>12</v>
      </c>
      <c r="J4" s="3"/>
    </row>
    <row r="5" spans="1:10" x14ac:dyDescent="0.35">
      <c r="A5" s="2">
        <v>46262.874317541507</v>
      </c>
      <c r="B5" s="3" t="s">
        <v>15</v>
      </c>
      <c r="C5" s="4">
        <v>0.95</v>
      </c>
      <c r="D5" s="5">
        <v>4.75</v>
      </c>
      <c r="E5" s="6" t="s">
        <v>11</v>
      </c>
      <c r="F5" s="7">
        <v>0.25</v>
      </c>
      <c r="G5" s="7"/>
      <c r="H5" s="5">
        <v>52.33</v>
      </c>
      <c r="I5" s="3" t="s">
        <v>12</v>
      </c>
      <c r="J5" s="3"/>
    </row>
    <row r="6" spans="1:10" x14ac:dyDescent="0.35">
      <c r="A6" s="2">
        <v>46262.87432690998</v>
      </c>
      <c r="B6" s="3" t="s">
        <v>16</v>
      </c>
      <c r="C6" s="4">
        <v>0.95</v>
      </c>
      <c r="D6" s="5">
        <v>4.75</v>
      </c>
      <c r="E6" s="6" t="s">
        <v>11</v>
      </c>
      <c r="F6" s="7">
        <v>0.25</v>
      </c>
      <c r="G6" s="7"/>
      <c r="H6" s="5">
        <v>52.58</v>
      </c>
      <c r="I6" s="3" t="s">
        <v>12</v>
      </c>
      <c r="J6" s="3"/>
    </row>
    <row r="7" spans="1:10" x14ac:dyDescent="0.35">
      <c r="A7" s="2">
        <v>46262.92830039627</v>
      </c>
      <c r="B7" s="3" t="s">
        <v>17</v>
      </c>
      <c r="C7" s="4">
        <v>0.96</v>
      </c>
      <c r="D7" s="5">
        <v>4.8</v>
      </c>
      <c r="E7" s="6" t="s">
        <v>11</v>
      </c>
      <c r="F7" s="7">
        <v>0.2</v>
      </c>
      <c r="G7" s="7"/>
      <c r="H7" s="5">
        <v>52.78</v>
      </c>
      <c r="I7" s="3" t="s">
        <v>18</v>
      </c>
      <c r="J7" s="3" t="s">
        <v>19</v>
      </c>
    </row>
    <row r="8" spans="1:10" x14ac:dyDescent="0.35">
      <c r="A8" s="2">
        <v>46262.964057809811</v>
      </c>
      <c r="B8" s="3" t="s">
        <v>20</v>
      </c>
      <c r="C8" s="4">
        <v>0.98</v>
      </c>
      <c r="D8" s="5">
        <v>4.9000000000000004</v>
      </c>
      <c r="E8" s="6" t="s">
        <v>11</v>
      </c>
      <c r="F8" s="7">
        <v>0.1</v>
      </c>
      <c r="G8" s="7"/>
      <c r="H8" s="5">
        <v>52.88</v>
      </c>
      <c r="I8" s="3" t="s">
        <v>21</v>
      </c>
      <c r="J8" s="3" t="s">
        <v>22</v>
      </c>
    </row>
    <row r="9" spans="1:10" x14ac:dyDescent="0.35">
      <c r="A9" s="2">
        <v>46264.299367916552</v>
      </c>
      <c r="B9" s="3" t="s">
        <v>23</v>
      </c>
      <c r="C9" s="4">
        <v>0.97</v>
      </c>
      <c r="D9" s="5">
        <v>4.8499999999999996</v>
      </c>
      <c r="E9" s="6" t="s">
        <v>11</v>
      </c>
      <c r="F9" s="7">
        <v>0.15</v>
      </c>
      <c r="G9" s="7"/>
      <c r="H9" s="5">
        <v>51.03</v>
      </c>
      <c r="I9" s="3" t="s">
        <v>12</v>
      </c>
      <c r="J9" s="3"/>
    </row>
    <row r="10" spans="1:10" x14ac:dyDescent="0.35">
      <c r="A10" s="2">
        <v>46264.693116014823</v>
      </c>
      <c r="B10" s="3" t="s">
        <v>24</v>
      </c>
      <c r="C10" s="4">
        <v>0.97</v>
      </c>
      <c r="D10" s="5">
        <v>4.8499999999999996</v>
      </c>
      <c r="E10" s="6" t="s">
        <v>11</v>
      </c>
      <c r="F10" s="7">
        <v>0.15</v>
      </c>
      <c r="G10" s="7"/>
      <c r="H10" s="5">
        <v>51.18</v>
      </c>
      <c r="I10" s="3" t="s">
        <v>18</v>
      </c>
      <c r="J10" s="3" t="s">
        <v>25</v>
      </c>
    </row>
    <row r="11" spans="1:10" x14ac:dyDescent="0.35">
      <c r="A11" s="2">
        <v>46264.81853208079</v>
      </c>
      <c r="B11" s="3" t="s">
        <v>26</v>
      </c>
      <c r="C11" s="4">
        <v>0.98</v>
      </c>
      <c r="D11" s="5">
        <v>4.9000000000000004</v>
      </c>
      <c r="E11" s="6" t="s">
        <v>11</v>
      </c>
      <c r="F11" s="7">
        <v>0.1</v>
      </c>
      <c r="G11" s="7"/>
      <c r="H11" s="5">
        <v>51.28</v>
      </c>
      <c r="I11" s="3" t="s">
        <v>18</v>
      </c>
      <c r="J11" s="3" t="s">
        <v>27</v>
      </c>
    </row>
    <row r="12" spans="1:10" x14ac:dyDescent="0.35">
      <c r="A12" s="2">
        <v>46264.94427157654</v>
      </c>
      <c r="B12" s="3" t="s">
        <v>28</v>
      </c>
      <c r="C12" s="4">
        <v>0.95</v>
      </c>
      <c r="D12" s="5">
        <v>4.75</v>
      </c>
      <c r="E12" s="6" t="s">
        <v>11</v>
      </c>
      <c r="F12" s="7">
        <v>0.25</v>
      </c>
      <c r="G12" s="7"/>
      <c r="H12" s="5">
        <v>51.53</v>
      </c>
      <c r="I12" s="3" t="s">
        <v>21</v>
      </c>
      <c r="J12" s="3" t="s">
        <v>29</v>
      </c>
    </row>
    <row r="13" spans="1:10" x14ac:dyDescent="0.35">
      <c r="A13" s="2">
        <v>46265.196610928368</v>
      </c>
      <c r="B13" s="3" t="s">
        <v>30</v>
      </c>
      <c r="C13" s="4">
        <v>0.95</v>
      </c>
      <c r="D13" s="5">
        <v>4.75</v>
      </c>
      <c r="E13" s="6" t="s">
        <v>11</v>
      </c>
      <c r="F13" s="7">
        <v>0.25</v>
      </c>
      <c r="G13" s="7"/>
      <c r="H13" s="5">
        <v>51.78</v>
      </c>
      <c r="I13" s="3" t="s">
        <v>18</v>
      </c>
      <c r="J13" s="3" t="s">
        <v>31</v>
      </c>
    </row>
    <row r="14" spans="1:10" x14ac:dyDescent="0.35">
      <c r="A14" s="2">
        <v>46265.874371693208</v>
      </c>
      <c r="B14" s="3" t="s">
        <v>32</v>
      </c>
      <c r="C14" s="4">
        <v>0.94</v>
      </c>
      <c r="D14" s="5">
        <v>4.7</v>
      </c>
      <c r="E14" s="6" t="s">
        <v>11</v>
      </c>
      <c r="F14" s="7">
        <v>0.3</v>
      </c>
      <c r="G14" s="7"/>
      <c r="H14" s="5">
        <v>51.18</v>
      </c>
      <c r="I14" s="3" t="s">
        <v>12</v>
      </c>
      <c r="J14" s="3"/>
    </row>
    <row r="15" spans="1:10" x14ac:dyDescent="0.35">
      <c r="A15" s="2">
        <v>46266.982710005948</v>
      </c>
      <c r="B15" s="3" t="s">
        <v>33</v>
      </c>
      <c r="C15" s="4">
        <v>0.99</v>
      </c>
      <c r="D15" s="5">
        <v>4.95</v>
      </c>
      <c r="E15" s="6" t="s">
        <v>11</v>
      </c>
      <c r="F15" s="7">
        <v>0.05</v>
      </c>
      <c r="G15" s="7"/>
      <c r="H15" s="5">
        <v>51.23</v>
      </c>
      <c r="I15" s="3" t="s">
        <v>21</v>
      </c>
      <c r="J15" s="3" t="s">
        <v>34</v>
      </c>
    </row>
    <row r="16" spans="1:10" x14ac:dyDescent="0.35">
      <c r="A16" s="2">
        <v>46267.304977783097</v>
      </c>
      <c r="B16" s="3" t="s">
        <v>35</v>
      </c>
      <c r="C16" s="4">
        <v>0.98</v>
      </c>
      <c r="D16" s="5">
        <v>4.9000000000000004</v>
      </c>
      <c r="E16" s="6" t="s">
        <v>11</v>
      </c>
      <c r="F16" s="7">
        <v>0.1</v>
      </c>
      <c r="G16" s="7"/>
      <c r="H16" s="5">
        <v>51.33</v>
      </c>
      <c r="I16" s="3" t="s">
        <v>12</v>
      </c>
      <c r="J16" s="3"/>
    </row>
    <row r="17" spans="1:10" x14ac:dyDescent="0.35">
      <c r="A17" s="2">
        <v>46267.652744278806</v>
      </c>
      <c r="B17" s="3" t="s">
        <v>36</v>
      </c>
      <c r="C17" s="4">
        <v>0.97</v>
      </c>
      <c r="D17" s="5">
        <v>4.8499999999999996</v>
      </c>
      <c r="E17" s="6" t="s">
        <v>11</v>
      </c>
      <c r="F17" s="7">
        <v>0.15</v>
      </c>
      <c r="G17" s="7"/>
      <c r="H17" s="5">
        <v>51.48</v>
      </c>
      <c r="I17" s="3" t="s">
        <v>21</v>
      </c>
      <c r="J17" s="3" t="s">
        <v>37</v>
      </c>
    </row>
    <row r="18" spans="1:10" x14ac:dyDescent="0.35">
      <c r="A18" s="2">
        <v>46267.65275686395</v>
      </c>
      <c r="B18" s="3" t="s">
        <v>38</v>
      </c>
      <c r="C18" s="4">
        <v>0.98</v>
      </c>
      <c r="D18" s="5">
        <v>4.9000000000000004</v>
      </c>
      <c r="E18" s="6" t="s">
        <v>11</v>
      </c>
      <c r="F18" s="7">
        <v>0.1</v>
      </c>
      <c r="G18" s="7"/>
      <c r="H18" s="5">
        <v>51.58</v>
      </c>
      <c r="I18" s="3" t="s">
        <v>18</v>
      </c>
      <c r="J18" s="3" t="s">
        <v>39</v>
      </c>
    </row>
    <row r="19" spans="1:10" x14ac:dyDescent="0.35">
      <c r="A19" s="2">
        <v>46267.725008442467</v>
      </c>
      <c r="B19" s="3" t="s">
        <v>40</v>
      </c>
      <c r="C19" s="4">
        <v>0.98</v>
      </c>
      <c r="D19" s="5">
        <v>4.9000000000000004</v>
      </c>
      <c r="E19" s="6" t="s">
        <v>11</v>
      </c>
      <c r="F19" s="7">
        <v>0.1</v>
      </c>
      <c r="G19" s="7"/>
      <c r="H19" s="5">
        <v>51.68</v>
      </c>
      <c r="I19" s="3" t="s">
        <v>12</v>
      </c>
      <c r="J19" s="3"/>
    </row>
    <row r="20" spans="1:10" x14ac:dyDescent="0.35">
      <c r="A20" s="2">
        <v>46267.79665187317</v>
      </c>
      <c r="B20" s="3" t="s">
        <v>41</v>
      </c>
      <c r="C20" s="4">
        <v>0.98</v>
      </c>
      <c r="D20" s="5">
        <v>4.9000000000000004</v>
      </c>
      <c r="E20" s="6" t="s">
        <v>11</v>
      </c>
      <c r="F20" s="7">
        <v>0.1</v>
      </c>
      <c r="G20" s="7"/>
      <c r="H20" s="5">
        <v>51.78</v>
      </c>
      <c r="I20" s="3" t="s">
        <v>21</v>
      </c>
      <c r="J20" s="3" t="s">
        <v>42</v>
      </c>
    </row>
    <row r="21" spans="1:10" x14ac:dyDescent="0.35">
      <c r="A21" s="2">
        <v>46267.957552923159</v>
      </c>
      <c r="B21" s="3" t="s">
        <v>43</v>
      </c>
      <c r="C21" s="4">
        <v>0.98</v>
      </c>
      <c r="D21" s="5">
        <v>4.9000000000000004</v>
      </c>
      <c r="E21" s="6" t="s">
        <v>11</v>
      </c>
      <c r="F21" s="7">
        <v>0.1</v>
      </c>
      <c r="G21" s="7"/>
      <c r="H21" s="5">
        <v>51.88</v>
      </c>
      <c r="I21" s="3" t="s">
        <v>12</v>
      </c>
      <c r="J21" s="3"/>
    </row>
    <row r="22" spans="1:10" x14ac:dyDescent="0.35">
      <c r="A22" s="2">
        <v>46268.136735289743</v>
      </c>
      <c r="B22" s="3" t="s">
        <v>44</v>
      </c>
      <c r="C22" s="4">
        <v>0.98</v>
      </c>
      <c r="D22" s="5">
        <v>4.9000000000000004</v>
      </c>
      <c r="E22" s="6" t="s">
        <v>11</v>
      </c>
      <c r="F22" s="7">
        <v>0.1</v>
      </c>
      <c r="G22" s="7"/>
      <c r="H22" s="5">
        <v>51.98</v>
      </c>
      <c r="I22" s="3" t="s">
        <v>18</v>
      </c>
      <c r="J22" s="3" t="s">
        <v>45</v>
      </c>
    </row>
    <row r="23" spans="1:10" x14ac:dyDescent="0.35">
      <c r="A23" s="2">
        <v>46268.686903441318</v>
      </c>
      <c r="B23" s="3" t="s">
        <v>46</v>
      </c>
      <c r="C23" s="4">
        <v>0.98</v>
      </c>
      <c r="D23" s="5">
        <v>4.9000000000000004</v>
      </c>
      <c r="E23" s="6" t="s">
        <v>11</v>
      </c>
      <c r="F23" s="7">
        <v>0.1</v>
      </c>
      <c r="G23" s="7"/>
      <c r="H23" s="5">
        <v>54.98</v>
      </c>
      <c r="I23" s="3" t="s">
        <v>12</v>
      </c>
      <c r="J23" s="3"/>
    </row>
    <row r="24" spans="1:10" x14ac:dyDescent="0.35">
      <c r="A24" s="2">
        <v>46268.686935853417</v>
      </c>
      <c r="B24" s="3" t="s">
        <v>47</v>
      </c>
      <c r="C24" s="4">
        <v>0.98</v>
      </c>
      <c r="D24" s="5">
        <v>4.9000000000000004</v>
      </c>
      <c r="E24" s="6" t="s">
        <v>11</v>
      </c>
      <c r="F24" s="7">
        <v>0.1</v>
      </c>
      <c r="G24" s="7"/>
      <c r="H24" s="5">
        <v>55.08</v>
      </c>
      <c r="I24" s="3" t="s">
        <v>12</v>
      </c>
      <c r="J24" s="3"/>
    </row>
    <row r="25" spans="1:10" x14ac:dyDescent="0.35">
      <c r="A25" s="2">
        <v>46269.657068756344</v>
      </c>
      <c r="B25" s="3" t="s">
        <v>48</v>
      </c>
      <c r="C25" s="4">
        <v>0.97</v>
      </c>
      <c r="D25" s="5">
        <v>4.8499999999999996</v>
      </c>
      <c r="E25" s="6" t="s">
        <v>11</v>
      </c>
      <c r="F25" s="7">
        <v>0.15</v>
      </c>
      <c r="G25" s="7"/>
      <c r="H25" s="5">
        <v>55.23</v>
      </c>
      <c r="I25" s="3" t="s">
        <v>18</v>
      </c>
      <c r="J25" s="3" t="s">
        <v>37</v>
      </c>
    </row>
    <row r="26" spans="1:10" x14ac:dyDescent="0.35">
      <c r="A26" s="2">
        <v>46269.692911599661</v>
      </c>
      <c r="B26" s="3" t="s">
        <v>49</v>
      </c>
      <c r="C26" s="4">
        <v>0.95</v>
      </c>
      <c r="D26" s="5">
        <v>4.75</v>
      </c>
      <c r="E26" s="6" t="s">
        <v>11</v>
      </c>
      <c r="F26" s="7">
        <v>0.25</v>
      </c>
      <c r="G26" s="7"/>
      <c r="H26" s="5">
        <v>55.48</v>
      </c>
      <c r="I26" s="3" t="s">
        <v>18</v>
      </c>
      <c r="J26" s="3" t="s">
        <v>50</v>
      </c>
    </row>
    <row r="27" spans="1:10" x14ac:dyDescent="0.35">
      <c r="A27" s="2">
        <v>46269.818570275107</v>
      </c>
      <c r="B27" s="3" t="s">
        <v>51</v>
      </c>
      <c r="C27" s="4">
        <v>0.98</v>
      </c>
      <c r="D27" s="5">
        <v>4.9000000000000004</v>
      </c>
      <c r="E27" s="6" t="s">
        <v>11</v>
      </c>
      <c r="F27" s="7">
        <v>0.1</v>
      </c>
      <c r="G27" s="7"/>
      <c r="H27" s="5">
        <v>55.58</v>
      </c>
      <c r="I27" s="3" t="s">
        <v>12</v>
      </c>
      <c r="J27" s="3"/>
    </row>
    <row r="28" spans="1:10" x14ac:dyDescent="0.35">
      <c r="A28" s="2">
        <v>46269.979976090966</v>
      </c>
      <c r="B28" s="3" t="s">
        <v>52</v>
      </c>
      <c r="C28" s="4">
        <v>0.94</v>
      </c>
      <c r="D28" s="5">
        <v>4.7</v>
      </c>
      <c r="E28" s="6" t="s">
        <v>11</v>
      </c>
      <c r="F28" s="7">
        <v>0.3</v>
      </c>
      <c r="G28" s="7"/>
      <c r="H28" s="5">
        <v>55.88</v>
      </c>
      <c r="I28" s="3" t="s">
        <v>12</v>
      </c>
      <c r="J28" s="3"/>
    </row>
    <row r="29" spans="1:10" x14ac:dyDescent="0.35">
      <c r="A29" s="2">
        <v>46269.979984346472</v>
      </c>
      <c r="B29" s="3" t="s">
        <v>53</v>
      </c>
      <c r="C29" s="4">
        <v>0.94</v>
      </c>
      <c r="D29" s="5">
        <v>4.7</v>
      </c>
      <c r="E29" s="6" t="s">
        <v>11</v>
      </c>
      <c r="F29" s="7">
        <v>0.3</v>
      </c>
      <c r="G29" s="7"/>
      <c r="H29" s="5">
        <v>56.18</v>
      </c>
      <c r="I29" s="3" t="s">
        <v>12</v>
      </c>
      <c r="J29" s="3"/>
    </row>
    <row r="30" spans="1:10" x14ac:dyDescent="0.35">
      <c r="A30" s="2">
        <v>46270.767940121303</v>
      </c>
      <c r="B30" s="3" t="s">
        <v>54</v>
      </c>
      <c r="C30" s="4">
        <v>0.97</v>
      </c>
      <c r="D30" s="5">
        <v>4.8499999999999996</v>
      </c>
      <c r="E30" s="6" t="s">
        <v>11</v>
      </c>
      <c r="F30" s="7">
        <v>0.15</v>
      </c>
      <c r="G30" s="7"/>
      <c r="H30" s="5">
        <v>56.33</v>
      </c>
      <c r="I30" s="3" t="s">
        <v>12</v>
      </c>
      <c r="J30" s="3"/>
    </row>
    <row r="31" spans="1:10" x14ac:dyDescent="0.35">
      <c r="A31" s="2">
        <v>46270.911119619333</v>
      </c>
      <c r="B31" s="3" t="s">
        <v>55</v>
      </c>
      <c r="C31" s="4">
        <v>0.98</v>
      </c>
      <c r="D31" s="5">
        <v>4.9000000000000004</v>
      </c>
      <c r="E31" s="6" t="s">
        <v>11</v>
      </c>
      <c r="F31" s="7">
        <v>0.1</v>
      </c>
      <c r="G31" s="7"/>
      <c r="H31" s="5">
        <v>56.43</v>
      </c>
      <c r="I31" s="3" t="s">
        <v>18</v>
      </c>
      <c r="J31" s="3" t="s">
        <v>56</v>
      </c>
    </row>
    <row r="32" spans="1:10" x14ac:dyDescent="0.35">
      <c r="A32" s="2">
        <v>46270.911135666167</v>
      </c>
      <c r="B32" s="3" t="s">
        <v>57</v>
      </c>
      <c r="C32" s="4">
        <v>0.95</v>
      </c>
      <c r="D32" s="5">
        <v>4.75</v>
      </c>
      <c r="E32" s="6" t="s">
        <v>11</v>
      </c>
      <c r="F32" s="7">
        <v>0.25</v>
      </c>
      <c r="G32" s="7"/>
      <c r="H32" s="5">
        <v>56.68</v>
      </c>
      <c r="I32" s="3" t="s">
        <v>18</v>
      </c>
      <c r="J32" s="3" t="s">
        <v>58</v>
      </c>
    </row>
    <row r="33" spans="1:10" x14ac:dyDescent="0.35">
      <c r="A33" s="2">
        <v>46271.000533660917</v>
      </c>
      <c r="B33" s="3" t="s">
        <v>59</v>
      </c>
      <c r="C33" s="4">
        <v>0.95</v>
      </c>
      <c r="D33" s="5">
        <v>4.75</v>
      </c>
      <c r="E33" s="6" t="s">
        <v>11</v>
      </c>
      <c r="F33" s="7">
        <v>0.25</v>
      </c>
      <c r="G33" s="7"/>
      <c r="H33" s="5">
        <v>56.93</v>
      </c>
      <c r="I33" s="3" t="s">
        <v>12</v>
      </c>
      <c r="J33" s="3"/>
    </row>
    <row r="34" spans="1:10" x14ac:dyDescent="0.35">
      <c r="A34" s="2">
        <v>46271.23316768252</v>
      </c>
      <c r="B34" s="3" t="s">
        <v>60</v>
      </c>
      <c r="C34" s="4">
        <v>0.98</v>
      </c>
      <c r="D34" s="5">
        <v>4.9000000000000004</v>
      </c>
      <c r="E34" s="6" t="s">
        <v>11</v>
      </c>
      <c r="F34" s="7">
        <v>0.1</v>
      </c>
      <c r="G34" s="7"/>
      <c r="H34" s="5">
        <v>57.03</v>
      </c>
      <c r="I34" s="3" t="s">
        <v>18</v>
      </c>
      <c r="J34" s="3" t="s">
        <v>61</v>
      </c>
    </row>
    <row r="35" spans="1:10" x14ac:dyDescent="0.35">
      <c r="A35" s="2">
        <v>46271.698253451767</v>
      </c>
      <c r="B35" s="3" t="s">
        <v>62</v>
      </c>
      <c r="C35" s="4">
        <v>0.99</v>
      </c>
      <c r="D35" s="5">
        <v>4.95</v>
      </c>
      <c r="E35" s="6" t="s">
        <v>11</v>
      </c>
      <c r="F35" s="7">
        <v>0.05</v>
      </c>
      <c r="G35" s="7"/>
      <c r="H35" s="5">
        <v>57.08</v>
      </c>
      <c r="I35" s="3" t="s">
        <v>21</v>
      </c>
      <c r="J35" s="3" t="s">
        <v>63</v>
      </c>
    </row>
    <row r="36" spans="1:10" x14ac:dyDescent="0.35">
      <c r="A36" s="2">
        <v>46271.751962548333</v>
      </c>
      <c r="B36" s="3" t="s">
        <v>64</v>
      </c>
      <c r="C36" s="4">
        <v>0.97</v>
      </c>
      <c r="D36" s="5">
        <v>4.8499999999999996</v>
      </c>
      <c r="E36" s="6" t="s">
        <v>11</v>
      </c>
      <c r="F36" s="7">
        <v>0.15</v>
      </c>
      <c r="G36" s="7"/>
      <c r="H36" s="5">
        <v>57.23</v>
      </c>
      <c r="I36" s="3" t="s">
        <v>18</v>
      </c>
      <c r="J36" s="3" t="s">
        <v>65</v>
      </c>
    </row>
    <row r="37" spans="1:10" x14ac:dyDescent="0.35">
      <c r="A37" s="2">
        <v>46272.127754542467</v>
      </c>
      <c r="B37" s="3" t="s">
        <v>66</v>
      </c>
      <c r="C37" s="4">
        <v>0.98</v>
      </c>
      <c r="D37" s="5">
        <v>4.9000000000000004</v>
      </c>
      <c r="E37" s="6" t="s">
        <v>11</v>
      </c>
      <c r="F37" s="7">
        <v>0.1</v>
      </c>
      <c r="G37" s="7"/>
      <c r="H37" s="5">
        <v>57.33</v>
      </c>
      <c r="I37" s="3" t="s">
        <v>21</v>
      </c>
      <c r="J37" s="3" t="s">
        <v>45</v>
      </c>
    </row>
    <row r="38" spans="1:10" x14ac:dyDescent="0.35">
      <c r="A38" s="2">
        <v>46272.701064433073</v>
      </c>
      <c r="B38" s="3" t="s">
        <v>67</v>
      </c>
      <c r="C38" s="4">
        <v>0.98</v>
      </c>
      <c r="D38" s="5">
        <v>4.9000000000000004</v>
      </c>
      <c r="E38" s="6" t="s">
        <v>11</v>
      </c>
      <c r="F38" s="7">
        <v>0.1</v>
      </c>
      <c r="G38" s="7"/>
      <c r="H38" s="5">
        <v>57.43</v>
      </c>
      <c r="I38" s="3" t="s">
        <v>21</v>
      </c>
      <c r="J38" s="3" t="s">
        <v>68</v>
      </c>
    </row>
    <row r="39" spans="1:10" x14ac:dyDescent="0.35">
      <c r="A39" s="2">
        <v>46272.701072660821</v>
      </c>
      <c r="B39" s="3" t="s">
        <v>69</v>
      </c>
      <c r="C39" s="4">
        <v>0.95</v>
      </c>
      <c r="D39" s="5">
        <v>4.75</v>
      </c>
      <c r="E39" s="6" t="s">
        <v>11</v>
      </c>
      <c r="F39" s="7">
        <v>0.25</v>
      </c>
      <c r="G39" s="7"/>
      <c r="H39" s="5">
        <v>57.68</v>
      </c>
      <c r="I39" s="3" t="s">
        <v>18</v>
      </c>
      <c r="J39" s="3" t="s">
        <v>70</v>
      </c>
    </row>
    <row r="40" spans="1:10" x14ac:dyDescent="0.35">
      <c r="A40" s="2">
        <v>46272.897856891919</v>
      </c>
      <c r="B40" s="3" t="s">
        <v>71</v>
      </c>
      <c r="C40" s="4">
        <v>0.97</v>
      </c>
      <c r="D40" s="5">
        <v>4.8499999999999996</v>
      </c>
      <c r="E40" s="6" t="s">
        <v>11</v>
      </c>
      <c r="F40" s="7">
        <v>0.15</v>
      </c>
      <c r="G40" s="7"/>
      <c r="H40" s="5">
        <v>57.83</v>
      </c>
      <c r="I40" s="3" t="s">
        <v>21</v>
      </c>
      <c r="J40" s="3" t="s">
        <v>56</v>
      </c>
    </row>
    <row r="41" spans="1:10" x14ac:dyDescent="0.35">
      <c r="A41" s="2">
        <v>46272.969588509201</v>
      </c>
      <c r="B41" s="3" t="s">
        <v>72</v>
      </c>
      <c r="C41" s="4">
        <v>0.99</v>
      </c>
      <c r="D41" s="5">
        <v>4.95</v>
      </c>
      <c r="E41" s="6" t="s">
        <v>11</v>
      </c>
      <c r="F41" s="7">
        <v>0.05</v>
      </c>
      <c r="G41" s="7"/>
      <c r="H41" s="5">
        <v>57.88</v>
      </c>
      <c r="I41" s="3" t="s">
        <v>18</v>
      </c>
      <c r="J41" s="3" t="s">
        <v>22</v>
      </c>
    </row>
    <row r="42" spans="1:10" x14ac:dyDescent="0.35">
      <c r="A42" s="2">
        <v>46273.703676100748</v>
      </c>
      <c r="B42" s="3" t="s">
        <v>73</v>
      </c>
      <c r="C42" s="4">
        <v>0.97</v>
      </c>
      <c r="D42" s="5">
        <v>4.8499999999999996</v>
      </c>
      <c r="E42" s="6" t="s">
        <v>11</v>
      </c>
      <c r="F42" s="7">
        <v>0.15</v>
      </c>
      <c r="G42" s="7"/>
      <c r="H42" s="5">
        <v>58.03</v>
      </c>
      <c r="I42" s="3" t="s">
        <v>18</v>
      </c>
      <c r="J42" s="3" t="s">
        <v>74</v>
      </c>
    </row>
    <row r="43" spans="1:10" x14ac:dyDescent="0.35">
      <c r="A43" s="2">
        <v>46273.918681613693</v>
      </c>
      <c r="B43" s="3" t="s">
        <v>75</v>
      </c>
      <c r="C43" s="4">
        <v>0.96</v>
      </c>
      <c r="D43" s="5">
        <v>4.8</v>
      </c>
      <c r="E43" s="6" t="s">
        <v>11</v>
      </c>
      <c r="F43" s="7">
        <v>0.2</v>
      </c>
      <c r="G43" s="7"/>
      <c r="H43" s="5">
        <v>58.23</v>
      </c>
      <c r="I43" s="3" t="s">
        <v>21</v>
      </c>
      <c r="J43" s="3" t="s">
        <v>76</v>
      </c>
    </row>
    <row r="44" spans="1:10" x14ac:dyDescent="0.35">
      <c r="A44" s="2">
        <v>46274.152089566618</v>
      </c>
      <c r="B44" s="3" t="s">
        <v>77</v>
      </c>
      <c r="C44" s="4">
        <v>0.97</v>
      </c>
      <c r="D44" s="5">
        <v>4.8499999999999996</v>
      </c>
      <c r="E44" s="6" t="s">
        <v>11</v>
      </c>
      <c r="F44" s="7">
        <v>0.15</v>
      </c>
      <c r="G44" s="7"/>
      <c r="H44" s="5">
        <v>58.38</v>
      </c>
      <c r="I44" s="3" t="s">
        <v>12</v>
      </c>
      <c r="J44" s="3"/>
    </row>
    <row r="45" spans="1:10" x14ac:dyDescent="0.35">
      <c r="A45" s="2">
        <v>46274.491542624281</v>
      </c>
      <c r="B45" s="3" t="s">
        <v>78</v>
      </c>
      <c r="C45" s="4">
        <v>0.98</v>
      </c>
      <c r="D45" s="5">
        <v>4.9000000000000004</v>
      </c>
      <c r="E45" s="6" t="s">
        <v>11</v>
      </c>
      <c r="F45" s="7">
        <v>0.1</v>
      </c>
      <c r="G45" s="7"/>
      <c r="H45" s="5">
        <v>58.48</v>
      </c>
      <c r="I45" s="3" t="s">
        <v>12</v>
      </c>
      <c r="J45" s="3"/>
    </row>
    <row r="46" spans="1:10" x14ac:dyDescent="0.35">
      <c r="A46" s="2">
        <v>46275.658728287948</v>
      </c>
      <c r="B46" s="3" t="s">
        <v>79</v>
      </c>
      <c r="C46" s="4">
        <v>0.95</v>
      </c>
      <c r="D46" s="5">
        <v>4.75</v>
      </c>
      <c r="E46" s="6" t="s">
        <v>11</v>
      </c>
      <c r="F46" s="7">
        <v>0.25</v>
      </c>
      <c r="G46" s="7"/>
      <c r="H46" s="5">
        <v>58.73</v>
      </c>
      <c r="I46" s="3" t="s">
        <v>18</v>
      </c>
      <c r="J46" s="3" t="s">
        <v>80</v>
      </c>
    </row>
    <row r="47" spans="1:10" x14ac:dyDescent="0.35">
      <c r="A47" s="2">
        <v>46275.658741474988</v>
      </c>
      <c r="B47" s="3" t="s">
        <v>81</v>
      </c>
      <c r="C47" s="4">
        <v>0.99</v>
      </c>
      <c r="D47" s="5">
        <v>4.95</v>
      </c>
      <c r="E47" s="6" t="s">
        <v>11</v>
      </c>
      <c r="F47" s="7">
        <v>0.05</v>
      </c>
      <c r="G47" s="7"/>
      <c r="H47" s="5">
        <v>58.78</v>
      </c>
      <c r="I47" s="3" t="s">
        <v>18</v>
      </c>
      <c r="J47" s="3" t="s">
        <v>39</v>
      </c>
    </row>
    <row r="48" spans="1:10" x14ac:dyDescent="0.35">
      <c r="A48" s="2">
        <v>46275.700966859557</v>
      </c>
      <c r="B48" s="3" t="s">
        <v>82</v>
      </c>
      <c r="C48" s="4">
        <v>0.98</v>
      </c>
      <c r="D48" s="5">
        <v>4.9000000000000004</v>
      </c>
      <c r="E48" s="6" t="s">
        <v>11</v>
      </c>
      <c r="F48" s="7">
        <v>0.1</v>
      </c>
      <c r="G48" s="7"/>
      <c r="H48" s="5">
        <v>58.88</v>
      </c>
      <c r="I48" s="3" t="s">
        <v>21</v>
      </c>
      <c r="J48" s="3" t="s">
        <v>83</v>
      </c>
    </row>
    <row r="49" spans="1:10" x14ac:dyDescent="0.35">
      <c r="A49" s="2">
        <v>46275.77373043861</v>
      </c>
      <c r="B49" s="3" t="s">
        <v>84</v>
      </c>
      <c r="C49" s="4">
        <v>0.98</v>
      </c>
      <c r="D49" s="5">
        <v>4.9000000000000004</v>
      </c>
      <c r="E49" s="6" t="s">
        <v>11</v>
      </c>
      <c r="F49" s="7">
        <v>0.1</v>
      </c>
      <c r="G49" s="7"/>
      <c r="H49" s="5">
        <v>58.98</v>
      </c>
      <c r="I49" s="3" t="s">
        <v>12</v>
      </c>
      <c r="J49" s="3"/>
    </row>
    <row r="50" spans="1:10" x14ac:dyDescent="0.35">
      <c r="A50" s="2">
        <v>46275.904108236668</v>
      </c>
      <c r="B50" s="3" t="s">
        <v>85</v>
      </c>
      <c r="C50" s="4">
        <v>0.97</v>
      </c>
      <c r="D50" s="5">
        <v>4.8499999999999996</v>
      </c>
      <c r="E50" s="6" t="s">
        <v>11</v>
      </c>
      <c r="F50" s="7">
        <v>0.15</v>
      </c>
      <c r="G50" s="7"/>
      <c r="H50" s="5">
        <v>59.13</v>
      </c>
      <c r="I50" s="3" t="s">
        <v>12</v>
      </c>
      <c r="J50" s="3"/>
    </row>
    <row r="51" spans="1:10" x14ac:dyDescent="0.35">
      <c r="A51" s="2">
        <v>46276.698760214342</v>
      </c>
      <c r="B51" s="3" t="s">
        <v>86</v>
      </c>
      <c r="C51" s="4">
        <v>0.96</v>
      </c>
      <c r="D51" s="5">
        <v>4.8</v>
      </c>
      <c r="E51" s="6" t="s">
        <v>11</v>
      </c>
      <c r="F51" s="7">
        <v>0.2</v>
      </c>
      <c r="G51" s="7"/>
      <c r="H51" s="5">
        <v>59.33</v>
      </c>
      <c r="I51" s="3" t="s">
        <v>12</v>
      </c>
      <c r="J51" s="3"/>
    </row>
    <row r="52" spans="1:10" x14ac:dyDescent="0.35">
      <c r="A52" s="2">
        <v>46277.848251767711</v>
      </c>
      <c r="B52" s="3" t="s">
        <v>87</v>
      </c>
      <c r="C52" s="4">
        <v>0.94</v>
      </c>
      <c r="D52" s="5">
        <v>4.7</v>
      </c>
      <c r="E52" s="6" t="s">
        <v>11</v>
      </c>
      <c r="F52" s="7">
        <v>0.3</v>
      </c>
      <c r="G52" s="7"/>
      <c r="H52" s="5">
        <v>59.63</v>
      </c>
      <c r="I52" s="3" t="s">
        <v>21</v>
      </c>
      <c r="J52" s="3" t="s">
        <v>88</v>
      </c>
    </row>
    <row r="53" spans="1:10" x14ac:dyDescent="0.35">
      <c r="A53" s="2">
        <v>46280.714736369417</v>
      </c>
      <c r="B53" s="3" t="s">
        <v>89</v>
      </c>
      <c r="C53" s="4">
        <v>0.94</v>
      </c>
      <c r="D53" s="5">
        <v>19.739999999999998</v>
      </c>
      <c r="E53" s="6" t="s">
        <v>11</v>
      </c>
      <c r="F53" s="7">
        <v>1.26</v>
      </c>
      <c r="G53" s="7"/>
      <c r="H53" s="5">
        <v>60.89</v>
      </c>
      <c r="I53" s="3" t="s">
        <v>18</v>
      </c>
      <c r="J53" s="3" t="s">
        <v>63</v>
      </c>
    </row>
    <row r="54" spans="1:10" x14ac:dyDescent="0.35">
      <c r="A54" s="2">
        <v>46280.819694110913</v>
      </c>
      <c r="B54" s="3" t="s">
        <v>90</v>
      </c>
      <c r="C54" s="4">
        <v>0.94</v>
      </c>
      <c r="D54" s="5">
        <v>19.739999999999998</v>
      </c>
      <c r="E54" s="6" t="s">
        <v>11</v>
      </c>
      <c r="F54" s="7">
        <v>1.26</v>
      </c>
      <c r="G54" s="7"/>
      <c r="H54" s="5">
        <v>62.15</v>
      </c>
      <c r="I54" s="3" t="s">
        <v>18</v>
      </c>
      <c r="J54" s="3" t="s">
        <v>34</v>
      </c>
    </row>
    <row r="55" spans="1:10" x14ac:dyDescent="0.35">
      <c r="A55" s="2">
        <v>46280.948632288702</v>
      </c>
      <c r="B55" s="3" t="s">
        <v>91</v>
      </c>
      <c r="C55" s="4">
        <v>0.98</v>
      </c>
      <c r="D55" s="5">
        <v>19.600000000000001</v>
      </c>
      <c r="E55" s="6" t="s">
        <v>11</v>
      </c>
      <c r="F55" s="7">
        <v>0.4</v>
      </c>
      <c r="G55" s="7"/>
      <c r="H55" s="5">
        <v>62.55</v>
      </c>
      <c r="I55" s="3" t="s">
        <v>18</v>
      </c>
      <c r="J55" s="3" t="s">
        <v>92</v>
      </c>
    </row>
    <row r="56" spans="1:10" x14ac:dyDescent="0.35">
      <c r="A56" s="2">
        <v>46281.688946308968</v>
      </c>
      <c r="B56" s="3" t="s">
        <v>93</v>
      </c>
      <c r="C56" s="4">
        <v>0.94</v>
      </c>
      <c r="D56" s="5">
        <v>20.68</v>
      </c>
      <c r="E56" s="6" t="s">
        <v>11</v>
      </c>
      <c r="F56" s="7">
        <v>1.32</v>
      </c>
      <c r="G56" s="7"/>
      <c r="H56" s="5">
        <v>63.87</v>
      </c>
      <c r="I56" s="3" t="s">
        <v>18</v>
      </c>
      <c r="J56" s="3" t="s">
        <v>25</v>
      </c>
    </row>
    <row r="57" spans="1:10" x14ac:dyDescent="0.35">
      <c r="A57" s="2">
        <v>46281.709132527183</v>
      </c>
      <c r="B57" s="3" t="s">
        <v>94</v>
      </c>
      <c r="C57" s="4">
        <v>0.95</v>
      </c>
      <c r="D57" s="5">
        <v>19.95</v>
      </c>
      <c r="E57" s="6" t="s">
        <v>11</v>
      </c>
      <c r="F57" s="7">
        <v>1.05</v>
      </c>
      <c r="G57" s="7"/>
      <c r="H57" s="5">
        <v>64.92</v>
      </c>
      <c r="I57" s="3" t="s">
        <v>18</v>
      </c>
      <c r="J57" s="3" t="s">
        <v>95</v>
      </c>
    </row>
    <row r="58" spans="1:10" x14ac:dyDescent="0.35">
      <c r="A58" s="8">
        <v>46281.810964260963</v>
      </c>
      <c r="B58" s="9" t="s">
        <v>96</v>
      </c>
      <c r="C58" s="10">
        <v>0.94</v>
      </c>
      <c r="D58" s="11">
        <v>21.62</v>
      </c>
      <c r="E58" s="12" t="s">
        <v>97</v>
      </c>
      <c r="F58" s="13"/>
      <c r="G58" s="13">
        <v>21.62</v>
      </c>
      <c r="H58" s="11">
        <v>43.3</v>
      </c>
      <c r="I58" s="9" t="s">
        <v>18</v>
      </c>
      <c r="J58" s="9" t="s">
        <v>34</v>
      </c>
    </row>
    <row r="59" spans="1:10" x14ac:dyDescent="0.35">
      <c r="A59" s="2">
        <v>46282.662919468603</v>
      </c>
      <c r="B59" s="3" t="s">
        <v>98</v>
      </c>
      <c r="C59" s="4">
        <v>0.99</v>
      </c>
      <c r="D59" s="5">
        <v>13.86</v>
      </c>
      <c r="E59" s="6" t="s">
        <v>11</v>
      </c>
      <c r="F59" s="7">
        <v>0.14000000000000001</v>
      </c>
      <c r="G59" s="7"/>
      <c r="H59" s="5">
        <v>43.44</v>
      </c>
      <c r="I59" s="3" t="s">
        <v>18</v>
      </c>
      <c r="J59" s="3" t="s">
        <v>37</v>
      </c>
    </row>
    <row r="60" spans="1:10" x14ac:dyDescent="0.35">
      <c r="A60" s="2">
        <v>46282.701918923289</v>
      </c>
      <c r="B60" s="3" t="s">
        <v>99</v>
      </c>
      <c r="C60" s="4">
        <v>0.99</v>
      </c>
      <c r="D60" s="5">
        <v>14.85</v>
      </c>
      <c r="E60" s="6" t="s">
        <v>11</v>
      </c>
      <c r="F60" s="7">
        <v>0.15</v>
      </c>
      <c r="G60" s="7"/>
      <c r="H60" s="5">
        <v>43.59</v>
      </c>
      <c r="I60" s="3" t="s">
        <v>18</v>
      </c>
      <c r="J60" s="3" t="s">
        <v>25</v>
      </c>
    </row>
    <row r="61" spans="1:10" x14ac:dyDescent="0.35">
      <c r="A61" s="2">
        <v>46283.141140733664</v>
      </c>
      <c r="B61" s="3" t="s">
        <v>100</v>
      </c>
      <c r="C61" s="4">
        <v>0.94</v>
      </c>
      <c r="D61" s="5">
        <v>14.1</v>
      </c>
      <c r="E61" s="6" t="s">
        <v>11</v>
      </c>
      <c r="F61" s="7">
        <v>0.9</v>
      </c>
      <c r="G61" s="7"/>
      <c r="H61" s="5">
        <v>44.49</v>
      </c>
      <c r="I61" s="3" t="s">
        <v>18</v>
      </c>
      <c r="J61" s="3" t="s">
        <v>45</v>
      </c>
    </row>
    <row r="62" spans="1:10" x14ac:dyDescent="0.35">
      <c r="A62" s="2">
        <v>46283.654708167422</v>
      </c>
      <c r="B62" s="3" t="s">
        <v>101</v>
      </c>
      <c r="C62" s="4">
        <v>0.99</v>
      </c>
      <c r="D62" s="5">
        <v>15.84</v>
      </c>
      <c r="E62" s="6" t="s">
        <v>11</v>
      </c>
      <c r="F62" s="7">
        <v>0.16</v>
      </c>
      <c r="G62" s="7"/>
      <c r="H62" s="5">
        <v>44.65</v>
      </c>
      <c r="I62" s="3" t="s">
        <v>18</v>
      </c>
      <c r="J62" s="3" t="s">
        <v>80</v>
      </c>
    </row>
    <row r="63" spans="1:10" x14ac:dyDescent="0.35">
      <c r="A63" s="2">
        <v>46283.694864158548</v>
      </c>
      <c r="B63" s="3" t="s">
        <v>102</v>
      </c>
      <c r="C63" s="4">
        <v>0.99</v>
      </c>
      <c r="D63" s="5">
        <v>14.85</v>
      </c>
      <c r="E63" s="6" t="s">
        <v>11</v>
      </c>
      <c r="F63" s="7">
        <v>0.15</v>
      </c>
      <c r="G63" s="7"/>
      <c r="H63" s="5">
        <v>44.8</v>
      </c>
      <c r="I63" s="3" t="s">
        <v>18</v>
      </c>
      <c r="J63" s="3" t="s">
        <v>103</v>
      </c>
    </row>
    <row r="64" spans="1:10" x14ac:dyDescent="0.35">
      <c r="A64" s="2">
        <v>46283.81122971572</v>
      </c>
      <c r="B64" s="3" t="s">
        <v>104</v>
      </c>
      <c r="C64" s="4">
        <v>0.98</v>
      </c>
      <c r="D64" s="5">
        <v>13.72</v>
      </c>
      <c r="E64" s="6" t="s">
        <v>11</v>
      </c>
      <c r="F64" s="7">
        <v>0.28000000000000003</v>
      </c>
      <c r="G64" s="7"/>
      <c r="H64" s="5">
        <v>45.08</v>
      </c>
      <c r="I64" s="3" t="s">
        <v>18</v>
      </c>
      <c r="J64" s="3" t="s">
        <v>34</v>
      </c>
    </row>
    <row r="65" spans="1:10" x14ac:dyDescent="0.35">
      <c r="A65" s="2">
        <v>46284.709644186667</v>
      </c>
      <c r="B65" s="3" t="s">
        <v>105</v>
      </c>
      <c r="C65" s="4">
        <v>0.94</v>
      </c>
      <c r="D65" s="5">
        <v>15.04</v>
      </c>
      <c r="E65" s="6" t="s">
        <v>11</v>
      </c>
      <c r="F65" s="7">
        <v>0.96</v>
      </c>
      <c r="G65" s="7"/>
      <c r="H65" s="5">
        <v>46.04</v>
      </c>
      <c r="I65" s="3" t="s">
        <v>18</v>
      </c>
      <c r="J65" s="3" t="s">
        <v>42</v>
      </c>
    </row>
    <row r="66" spans="1:10" x14ac:dyDescent="0.35">
      <c r="A66" s="2">
        <v>46284.84332830333</v>
      </c>
      <c r="B66" s="3" t="s">
        <v>106</v>
      </c>
      <c r="C66" s="4">
        <v>0.97</v>
      </c>
      <c r="D66" s="5">
        <v>13.58</v>
      </c>
      <c r="E66" s="6" t="s">
        <v>11</v>
      </c>
      <c r="F66" s="7">
        <v>0.42</v>
      </c>
      <c r="G66" s="7"/>
      <c r="H66" s="5">
        <v>46.46</v>
      </c>
      <c r="I66" s="3" t="s">
        <v>18</v>
      </c>
      <c r="J66" s="3" t="s">
        <v>34</v>
      </c>
    </row>
    <row r="67" spans="1:10" x14ac:dyDescent="0.35">
      <c r="A67" s="2">
        <v>46284.976875332337</v>
      </c>
      <c r="B67" s="3" t="s">
        <v>107</v>
      </c>
      <c r="C67" s="4">
        <v>0.99</v>
      </c>
      <c r="D67" s="5">
        <v>15.84</v>
      </c>
      <c r="E67" s="6" t="s">
        <v>11</v>
      </c>
      <c r="F67" s="7">
        <v>0.16</v>
      </c>
      <c r="G67" s="7"/>
      <c r="H67" s="5">
        <v>46.62</v>
      </c>
      <c r="I67" s="3" t="s">
        <v>18</v>
      </c>
      <c r="J67" s="3" t="s">
        <v>22</v>
      </c>
    </row>
    <row r="68" spans="1:10" x14ac:dyDescent="0.35">
      <c r="A68" s="2">
        <v>46285.703071632859</v>
      </c>
      <c r="B68" s="3" t="s">
        <v>108</v>
      </c>
      <c r="C68" s="4">
        <v>0.97</v>
      </c>
      <c r="D68" s="5">
        <v>15.52</v>
      </c>
      <c r="E68" s="6" t="s">
        <v>11</v>
      </c>
      <c r="F68" s="7">
        <v>0.48</v>
      </c>
      <c r="G68" s="7"/>
      <c r="H68" s="5">
        <v>47.1</v>
      </c>
      <c r="I68" s="3" t="s">
        <v>18</v>
      </c>
      <c r="J68" s="3" t="s">
        <v>65</v>
      </c>
    </row>
    <row r="69" spans="1:10" x14ac:dyDescent="0.35">
      <c r="A69" s="2">
        <v>46286.009957336508</v>
      </c>
      <c r="B69" s="3" t="s">
        <v>109</v>
      </c>
      <c r="C69" s="4">
        <v>0.99</v>
      </c>
      <c r="D69" s="5">
        <v>15.84</v>
      </c>
      <c r="E69" s="6" t="s">
        <v>11</v>
      </c>
      <c r="F69" s="7">
        <v>0.16</v>
      </c>
      <c r="G69" s="7"/>
      <c r="H69" s="5">
        <v>47.26</v>
      </c>
      <c r="I69" s="3" t="s">
        <v>18</v>
      </c>
      <c r="J69" s="3" t="s">
        <v>92</v>
      </c>
    </row>
    <row r="70" spans="1:10" x14ac:dyDescent="0.35">
      <c r="A70" s="2">
        <v>46286.126710078483</v>
      </c>
      <c r="B70" s="3" t="s">
        <v>110</v>
      </c>
      <c r="C70" s="4">
        <v>0.96</v>
      </c>
      <c r="D70" s="5">
        <v>14.4</v>
      </c>
      <c r="E70" s="6" t="s">
        <v>11</v>
      </c>
      <c r="F70" s="7">
        <v>0.6</v>
      </c>
      <c r="G70" s="7"/>
      <c r="H70" s="5">
        <v>47.86</v>
      </c>
      <c r="I70" s="3" t="s">
        <v>18</v>
      </c>
      <c r="J70" s="3" t="s">
        <v>45</v>
      </c>
    </row>
    <row r="71" spans="1:10" x14ac:dyDescent="0.35">
      <c r="A71" s="2">
        <v>46286.671400284293</v>
      </c>
      <c r="B71" s="3" t="s">
        <v>111</v>
      </c>
      <c r="C71" s="4">
        <v>0.95</v>
      </c>
      <c r="D71" s="5">
        <v>16.149999999999999</v>
      </c>
      <c r="E71" s="6" t="s">
        <v>11</v>
      </c>
      <c r="F71" s="7">
        <v>0.85</v>
      </c>
      <c r="G71" s="7"/>
      <c r="H71" s="5">
        <v>48.71</v>
      </c>
      <c r="I71" s="3" t="s">
        <v>18</v>
      </c>
      <c r="J71" s="3" t="s">
        <v>39</v>
      </c>
    </row>
    <row r="72" spans="1:10" x14ac:dyDescent="0.35">
      <c r="A72" s="2">
        <v>46286.710027188477</v>
      </c>
      <c r="B72" s="3" t="s">
        <v>112</v>
      </c>
      <c r="C72" s="4">
        <v>0.97</v>
      </c>
      <c r="D72" s="5">
        <v>16.489999999999998</v>
      </c>
      <c r="E72" s="6" t="s">
        <v>11</v>
      </c>
      <c r="F72" s="7">
        <v>0.51</v>
      </c>
      <c r="G72" s="7"/>
      <c r="H72" s="5">
        <v>49.22</v>
      </c>
      <c r="I72" s="3" t="s">
        <v>18</v>
      </c>
      <c r="J72" s="3" t="s">
        <v>103</v>
      </c>
    </row>
    <row r="73" spans="1:10" x14ac:dyDescent="0.35">
      <c r="A73" s="2">
        <v>46287.229426482852</v>
      </c>
      <c r="B73" s="3" t="s">
        <v>113</v>
      </c>
      <c r="C73" s="4">
        <v>0.99</v>
      </c>
      <c r="D73" s="5">
        <v>14.85</v>
      </c>
      <c r="E73" s="6" t="s">
        <v>11</v>
      </c>
      <c r="F73" s="7">
        <v>0.15</v>
      </c>
      <c r="G73" s="7"/>
      <c r="H73" s="5">
        <v>49.37</v>
      </c>
      <c r="I73" s="3" t="s">
        <v>18</v>
      </c>
      <c r="J73" s="3" t="s">
        <v>61</v>
      </c>
    </row>
    <row r="74" spans="1:10" x14ac:dyDescent="0.35">
      <c r="A74" s="2">
        <v>46287.654086067458</v>
      </c>
      <c r="B74" s="3" t="s">
        <v>114</v>
      </c>
      <c r="C74" s="4">
        <v>0.96</v>
      </c>
      <c r="D74" s="5">
        <v>14.4</v>
      </c>
      <c r="E74" s="6" t="s">
        <v>11</v>
      </c>
      <c r="F74" s="7">
        <v>0.6</v>
      </c>
      <c r="G74" s="7"/>
      <c r="H74" s="5">
        <v>49.97</v>
      </c>
      <c r="I74" s="3" t="s">
        <v>18</v>
      </c>
      <c r="J74" s="3" t="s">
        <v>37</v>
      </c>
    </row>
    <row r="75" spans="1:10" x14ac:dyDescent="0.35">
      <c r="A75" s="2">
        <v>46287.713123697373</v>
      </c>
      <c r="B75" s="3" t="s">
        <v>115</v>
      </c>
      <c r="C75" s="4">
        <v>0.99</v>
      </c>
      <c r="D75" s="5">
        <v>16.829999999999998</v>
      </c>
      <c r="E75" s="6" t="s">
        <v>11</v>
      </c>
      <c r="F75" s="7">
        <v>0.17</v>
      </c>
      <c r="G75" s="7"/>
      <c r="H75" s="5">
        <v>50.14</v>
      </c>
      <c r="I75" s="3" t="s">
        <v>18</v>
      </c>
      <c r="J75" s="3" t="s">
        <v>70</v>
      </c>
    </row>
    <row r="76" spans="1:10" x14ac:dyDescent="0.35">
      <c r="A76" s="2">
        <v>46288.33040916441</v>
      </c>
      <c r="B76" s="3" t="s">
        <v>116</v>
      </c>
      <c r="C76" s="4">
        <v>0.96</v>
      </c>
      <c r="D76" s="5">
        <v>17.28</v>
      </c>
      <c r="E76" s="6" t="s">
        <v>11</v>
      </c>
      <c r="F76" s="7">
        <v>0.72</v>
      </c>
      <c r="G76" s="7"/>
      <c r="H76" s="5">
        <v>50.86</v>
      </c>
      <c r="I76" s="3" t="s">
        <v>18</v>
      </c>
      <c r="J76" s="3" t="s">
        <v>117</v>
      </c>
    </row>
    <row r="77" spans="1:10" x14ac:dyDescent="0.35">
      <c r="A77" s="2">
        <v>46288.697681123347</v>
      </c>
      <c r="B77" s="3" t="s">
        <v>118</v>
      </c>
      <c r="C77" s="4">
        <v>0.99</v>
      </c>
      <c r="D77" s="5">
        <v>15.84</v>
      </c>
      <c r="E77" s="6" t="s">
        <v>11</v>
      </c>
      <c r="F77" s="7">
        <v>0.16</v>
      </c>
      <c r="G77" s="7"/>
      <c r="H77" s="5">
        <v>51.02</v>
      </c>
      <c r="I77" s="3" t="s">
        <v>18</v>
      </c>
      <c r="J77" s="3" t="s">
        <v>74</v>
      </c>
    </row>
    <row r="78" spans="1:10" x14ac:dyDescent="0.35">
      <c r="A78" s="2">
        <v>46288.697689853012</v>
      </c>
      <c r="B78" s="3" t="s">
        <v>119</v>
      </c>
      <c r="C78" s="4">
        <v>0.96</v>
      </c>
      <c r="D78" s="5">
        <v>16.32</v>
      </c>
      <c r="E78" s="6" t="s">
        <v>11</v>
      </c>
      <c r="F78" s="7">
        <v>0.68</v>
      </c>
      <c r="G78" s="7"/>
      <c r="H78" s="5">
        <v>51.7</v>
      </c>
      <c r="I78" s="3" t="s">
        <v>18</v>
      </c>
      <c r="J78" s="3" t="s">
        <v>65</v>
      </c>
    </row>
    <row r="79" spans="1:10" x14ac:dyDescent="0.35">
      <c r="A79" s="2">
        <v>46289.137612859711</v>
      </c>
      <c r="B79" s="3" t="s">
        <v>120</v>
      </c>
      <c r="C79" s="4">
        <v>0.98</v>
      </c>
      <c r="D79" s="5">
        <v>18.62</v>
      </c>
      <c r="E79" s="6" t="s">
        <v>11</v>
      </c>
      <c r="F79" s="7">
        <v>0.38</v>
      </c>
      <c r="G79" s="7"/>
      <c r="H79" s="5">
        <v>52.08</v>
      </c>
      <c r="I79" s="3" t="s">
        <v>18</v>
      </c>
      <c r="J79" s="3" t="s">
        <v>45</v>
      </c>
    </row>
    <row r="80" spans="1:10" x14ac:dyDescent="0.35">
      <c r="A80" s="2">
        <v>46289.650547485428</v>
      </c>
      <c r="B80" s="3" t="s">
        <v>121</v>
      </c>
      <c r="C80" s="4">
        <v>0.96</v>
      </c>
      <c r="D80" s="5">
        <v>17.28</v>
      </c>
      <c r="E80" s="6" t="s">
        <v>11</v>
      </c>
      <c r="F80" s="7">
        <v>0.72</v>
      </c>
      <c r="G80" s="7"/>
      <c r="H80" s="5">
        <v>52.8</v>
      </c>
      <c r="I80" s="3" t="s">
        <v>18</v>
      </c>
      <c r="J80" s="3" t="s">
        <v>37</v>
      </c>
    </row>
    <row r="81" spans="1:10" x14ac:dyDescent="0.35">
      <c r="A81" s="2">
        <v>46289.711537413459</v>
      </c>
      <c r="B81" s="3" t="s">
        <v>122</v>
      </c>
      <c r="C81" s="4">
        <v>0.98</v>
      </c>
      <c r="D81" s="5">
        <v>18.62</v>
      </c>
      <c r="E81" s="6" t="s">
        <v>11</v>
      </c>
      <c r="F81" s="7">
        <v>0.38</v>
      </c>
      <c r="G81" s="7"/>
      <c r="H81" s="5">
        <v>53.18</v>
      </c>
      <c r="I81" s="3" t="s">
        <v>18</v>
      </c>
      <c r="J81" s="3" t="s">
        <v>70</v>
      </c>
    </row>
    <row r="82" spans="1:10" x14ac:dyDescent="0.35">
      <c r="A82" s="2">
        <v>46289.910024312048</v>
      </c>
      <c r="B82" s="3" t="s">
        <v>123</v>
      </c>
      <c r="C82" s="4">
        <v>0.98</v>
      </c>
      <c r="D82" s="5">
        <v>15.68</v>
      </c>
      <c r="E82" s="6" t="s">
        <v>11</v>
      </c>
      <c r="F82" s="7">
        <v>0.32</v>
      </c>
      <c r="G82" s="7"/>
      <c r="H82" s="5">
        <v>53.5</v>
      </c>
      <c r="I82" s="3" t="s">
        <v>18</v>
      </c>
      <c r="J82" s="3" t="s">
        <v>56</v>
      </c>
    </row>
    <row r="83" spans="1:10" x14ac:dyDescent="0.35">
      <c r="A83" s="2">
        <v>46290.708088024548</v>
      </c>
      <c r="B83" s="3" t="s">
        <v>124</v>
      </c>
      <c r="C83" s="4">
        <v>0.99</v>
      </c>
      <c r="D83" s="5">
        <v>17.82</v>
      </c>
      <c r="E83" s="6" t="s">
        <v>11</v>
      </c>
      <c r="F83" s="7">
        <v>0.18</v>
      </c>
      <c r="G83" s="7"/>
      <c r="H83" s="5">
        <v>53.68</v>
      </c>
      <c r="I83" s="3" t="s">
        <v>18</v>
      </c>
      <c r="J83" s="3" t="s">
        <v>42</v>
      </c>
    </row>
    <row r="84" spans="1:10" x14ac:dyDescent="0.35">
      <c r="A84" s="2">
        <v>46290.708096720373</v>
      </c>
      <c r="B84" s="3" t="s">
        <v>125</v>
      </c>
      <c r="C84" s="4">
        <v>0.98</v>
      </c>
      <c r="D84" s="5">
        <v>19.600000000000001</v>
      </c>
      <c r="E84" s="6" t="s">
        <v>11</v>
      </c>
      <c r="F84" s="7">
        <v>0.4</v>
      </c>
      <c r="G84" s="7"/>
      <c r="H84" s="5">
        <v>54.08</v>
      </c>
      <c r="I84" s="3" t="s">
        <v>18</v>
      </c>
      <c r="J84" s="3" t="s">
        <v>74</v>
      </c>
    </row>
    <row r="85" spans="1:10" x14ac:dyDescent="0.35">
      <c r="A85" s="2">
        <v>46290.708105136713</v>
      </c>
      <c r="B85" s="3" t="s">
        <v>126</v>
      </c>
      <c r="C85" s="4">
        <v>0.95</v>
      </c>
      <c r="D85" s="5">
        <v>15.2</v>
      </c>
      <c r="E85" s="6" t="s">
        <v>11</v>
      </c>
      <c r="F85" s="7">
        <v>0.8</v>
      </c>
      <c r="G85" s="7"/>
      <c r="H85" s="5">
        <v>54.88</v>
      </c>
      <c r="I85" s="3" t="s">
        <v>18</v>
      </c>
      <c r="J85" s="3" t="s">
        <v>42</v>
      </c>
    </row>
    <row r="86" spans="1:10" x14ac:dyDescent="0.35">
      <c r="A86" s="2">
        <v>46291.83279849698</v>
      </c>
      <c r="B86" s="3" t="s">
        <v>127</v>
      </c>
      <c r="C86" s="4">
        <v>0.99</v>
      </c>
      <c r="D86" s="5">
        <v>17.82</v>
      </c>
      <c r="E86" s="6" t="s">
        <v>11</v>
      </c>
      <c r="F86" s="7">
        <v>0.18</v>
      </c>
      <c r="G86" s="7"/>
      <c r="H86" s="5">
        <v>55.06</v>
      </c>
      <c r="I86" s="3" t="s">
        <v>18</v>
      </c>
      <c r="J86" s="3" t="s">
        <v>128</v>
      </c>
    </row>
    <row r="87" spans="1:10" x14ac:dyDescent="0.35">
      <c r="A87" s="2">
        <v>46291.832815004491</v>
      </c>
      <c r="B87" s="3" t="s">
        <v>129</v>
      </c>
      <c r="C87" s="4">
        <v>0.99</v>
      </c>
      <c r="D87" s="5">
        <v>18.809999999999999</v>
      </c>
      <c r="E87" s="6" t="s">
        <v>11</v>
      </c>
      <c r="F87" s="7">
        <v>0.19</v>
      </c>
      <c r="G87" s="7"/>
      <c r="H87" s="5">
        <v>55.25</v>
      </c>
      <c r="I87" s="3" t="s">
        <v>18</v>
      </c>
      <c r="J87" s="3" t="s">
        <v>83</v>
      </c>
    </row>
    <row r="88" spans="1:10" x14ac:dyDescent="0.35">
      <c r="A88" s="2">
        <v>46291.908861413249</v>
      </c>
      <c r="B88" s="3" t="s">
        <v>130</v>
      </c>
      <c r="C88" s="4">
        <v>0.94</v>
      </c>
      <c r="D88" s="5">
        <v>17.86</v>
      </c>
      <c r="E88" s="6" t="s">
        <v>11</v>
      </c>
      <c r="F88" s="7">
        <v>1.1399999999999999</v>
      </c>
      <c r="G88" s="7"/>
      <c r="H88" s="5">
        <v>56.39</v>
      </c>
      <c r="I88" s="3" t="s">
        <v>18</v>
      </c>
      <c r="J88" s="3" t="s">
        <v>58</v>
      </c>
    </row>
    <row r="89" spans="1:10" x14ac:dyDescent="0.35">
      <c r="A89" s="2">
        <v>46292.650103705397</v>
      </c>
      <c r="B89" s="3" t="s">
        <v>131</v>
      </c>
      <c r="C89" s="4">
        <v>0.97</v>
      </c>
      <c r="D89" s="5">
        <v>19.399999999999999</v>
      </c>
      <c r="E89" s="6" t="s">
        <v>11</v>
      </c>
      <c r="F89" s="7">
        <v>0.6</v>
      </c>
      <c r="G89" s="7"/>
      <c r="H89" s="5">
        <v>56.99</v>
      </c>
      <c r="I89" s="3" t="s">
        <v>18</v>
      </c>
      <c r="J89" s="3" t="s">
        <v>37</v>
      </c>
    </row>
    <row r="90" spans="1:10" x14ac:dyDescent="0.35">
      <c r="A90" s="2">
        <v>46293.650945248723</v>
      </c>
      <c r="B90" s="3" t="s">
        <v>132</v>
      </c>
      <c r="C90" s="4">
        <v>0.95</v>
      </c>
      <c r="D90" s="5">
        <v>19.95</v>
      </c>
      <c r="E90" s="6" t="s">
        <v>11</v>
      </c>
      <c r="F90" s="7">
        <v>1.05</v>
      </c>
      <c r="G90" s="7"/>
      <c r="H90" s="5">
        <v>58.04</v>
      </c>
      <c r="I90" s="3" t="s">
        <v>18</v>
      </c>
      <c r="J90" s="3" t="s">
        <v>80</v>
      </c>
    </row>
    <row r="91" spans="1:10" x14ac:dyDescent="0.35">
      <c r="A91" s="2">
        <v>46293.939915081872</v>
      </c>
      <c r="B91" s="3" t="s">
        <v>133</v>
      </c>
      <c r="C91" s="4">
        <v>0.97</v>
      </c>
      <c r="D91" s="5">
        <v>18.43</v>
      </c>
      <c r="E91" s="6" t="s">
        <v>11</v>
      </c>
      <c r="F91" s="7">
        <v>0.56999999999999995</v>
      </c>
      <c r="G91" s="7"/>
      <c r="H91" s="5">
        <v>58.61</v>
      </c>
      <c r="I91" s="3" t="s">
        <v>18</v>
      </c>
      <c r="J91" s="3" t="s">
        <v>134</v>
      </c>
    </row>
    <row r="92" spans="1:10" x14ac:dyDescent="0.35">
      <c r="A92" s="2">
        <v>46293.978832662731</v>
      </c>
      <c r="B92" s="3" t="s">
        <v>135</v>
      </c>
      <c r="C92" s="4">
        <v>0.97</v>
      </c>
      <c r="D92" s="5">
        <v>18.43</v>
      </c>
      <c r="E92" s="6" t="s">
        <v>11</v>
      </c>
      <c r="F92" s="7">
        <v>0.56999999999999995</v>
      </c>
      <c r="G92" s="7"/>
      <c r="H92" s="5">
        <v>59.18</v>
      </c>
      <c r="I92" s="3" t="s">
        <v>18</v>
      </c>
      <c r="J92" s="3" t="s">
        <v>136</v>
      </c>
    </row>
    <row r="93" spans="1:10" x14ac:dyDescent="0.35">
      <c r="A93" s="2">
        <v>46294.485540675429</v>
      </c>
      <c r="B93" s="3" t="s">
        <v>137</v>
      </c>
      <c r="C93" s="4">
        <v>0.97</v>
      </c>
      <c r="D93" s="5">
        <v>18.43</v>
      </c>
      <c r="E93" s="6" t="s">
        <v>11</v>
      </c>
      <c r="F93" s="7">
        <v>0.56999999999999995</v>
      </c>
      <c r="G93" s="7"/>
      <c r="H93" s="5">
        <v>59.75</v>
      </c>
      <c r="I93" s="3" t="s">
        <v>18</v>
      </c>
      <c r="J93" s="3" t="s">
        <v>138</v>
      </c>
    </row>
    <row r="94" spans="1:10" x14ac:dyDescent="0.35">
      <c r="A94" s="14"/>
      <c r="B94" s="15" t="s">
        <v>139</v>
      </c>
      <c r="C94" s="14"/>
      <c r="D94" s="16"/>
      <c r="E94" s="14"/>
      <c r="F94" s="16">
        <f>SUM(F2:F93)</f>
        <v>30.490000000000009</v>
      </c>
      <c r="G94" s="16">
        <f>SUM(G2:G93)</f>
        <v>21.62</v>
      </c>
      <c r="H94" s="14"/>
      <c r="I94" s="14"/>
      <c r="J94" s="1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ColWidth="8.7265625" defaultRowHeight="14.5" x14ac:dyDescent="0.35"/>
  <cols>
    <col min="1" max="1" width="28" customWidth="1"/>
    <col min="2" max="2" width="18" customWidth="1"/>
  </cols>
  <sheetData>
    <row r="1" spans="1:2" ht="15.5" x14ac:dyDescent="0.35">
      <c r="A1" s="17" t="s">
        <v>140</v>
      </c>
    </row>
    <row r="3" spans="1:2" x14ac:dyDescent="0.35">
      <c r="A3" s="18" t="s">
        <v>141</v>
      </c>
      <c r="B3" s="15">
        <f>COUNTA(Historial!E2:E93)</f>
        <v>92</v>
      </c>
    </row>
    <row r="4" spans="1:2" x14ac:dyDescent="0.35">
      <c r="A4" s="18" t="s">
        <v>142</v>
      </c>
      <c r="B4" s="15">
        <f>COUNTIF(Historial!E2:E93,"Ganada")</f>
        <v>91</v>
      </c>
    </row>
    <row r="5" spans="1:2" x14ac:dyDescent="0.35">
      <c r="A5" s="18" t="s">
        <v>143</v>
      </c>
      <c r="B5" s="15">
        <f>COUNTIF(Historial!E2:E93,"Perdida")</f>
        <v>1</v>
      </c>
    </row>
    <row r="6" spans="1:2" x14ac:dyDescent="0.35">
      <c r="A6" s="18" t="s">
        <v>144</v>
      </c>
      <c r="B6" s="19">
        <f>B4/B3</f>
        <v>0.98913043478260865</v>
      </c>
    </row>
    <row r="7" spans="1:2" x14ac:dyDescent="0.35">
      <c r="A7" s="18" t="s">
        <v>145</v>
      </c>
      <c r="B7" s="20">
        <f>Historial!D94</f>
        <v>0</v>
      </c>
    </row>
    <row r="8" spans="1:2" x14ac:dyDescent="0.35">
      <c r="A8" s="18" t="s">
        <v>146</v>
      </c>
      <c r="B8" s="20">
        <f>Historial!F94</f>
        <v>30.490000000000009</v>
      </c>
    </row>
    <row r="9" spans="1:2" x14ac:dyDescent="0.35">
      <c r="A9" s="18" t="s">
        <v>147</v>
      </c>
      <c r="B9" s="20">
        <f>Historial!G94</f>
        <v>21.62</v>
      </c>
    </row>
    <row r="10" spans="1:2" x14ac:dyDescent="0.35">
      <c r="A10" s="18" t="s">
        <v>148</v>
      </c>
      <c r="B10" s="21">
        <f>B8-B9</f>
        <v>8.8700000000000081</v>
      </c>
    </row>
    <row r="11" spans="1:2" x14ac:dyDescent="0.35">
      <c r="A11" s="18" t="s">
        <v>149</v>
      </c>
      <c r="B11" s="20">
        <v>50.88</v>
      </c>
    </row>
    <row r="12" spans="1:2" x14ac:dyDescent="0.35">
      <c r="A12" s="18" t="s">
        <v>150</v>
      </c>
      <c r="B12" s="20">
        <f>Historial!H93</f>
        <v>59.75</v>
      </c>
    </row>
    <row r="15" spans="1:2" x14ac:dyDescent="0.35">
      <c r="A15" s="22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Historial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Giovani</cp:lastModifiedBy>
  <dcterms:created xsi:type="dcterms:W3CDTF">2026-09-29T15:22:49Z</dcterms:created>
  <dcterms:modified xsi:type="dcterms:W3CDTF">2026-09-29T15:24:17Z</dcterms:modified>
</cp:coreProperties>
</file>